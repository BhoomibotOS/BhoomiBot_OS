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hoomibot_OS\Repository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<sst xmlns="http://schemas.openxmlformats.org/spreadsheetml/2006/main" count="123" uniqueCount="99">
  <si>
    <t>Component</t>
  </si>
  <si>
    <t>Specification</t>
  </si>
  <si>
    <t>Qty</t>
  </si>
  <si>
    <t>Purpose</t>
  </si>
  <si>
    <t>Total</t>
  </si>
  <si>
    <t>Rate 1 Qty</t>
  </si>
  <si>
    <t>48V 5A Lithium Phosphate Battery Charger</t>
  </si>
  <si>
    <t>54.75V cut-off, 5A</t>
  </si>
  <si>
    <t>Battery charging</t>
  </si>
  <si>
    <t>ESP32 WROOM-32</t>
  </si>
  <si>
    <t>Type-C, CP2102, Dual Core, Wi-Fi + Bluetooth, 38-pin</t>
  </si>
  <si>
    <t>Robot VCU / communication and control</t>
  </si>
  <si>
    <t>PC817 4-CH Optocoupler</t>
  </si>
  <si>
    <t>4-channel electrical isolation module</t>
  </si>
  <si>
    <t>Isolate ESP32/control signals from higher-voltage circuits</t>
  </si>
  <si>
    <t>LM2596 Buck Converter</t>
  </si>
  <si>
    <t>DC 4–40V input, 1.3–37V output, 2A</t>
  </si>
  <si>
    <t>Low-voltage power supply</t>
  </si>
  <si>
    <t>HTC 830L+ Digital Multimeter</t>
  </si>
  <si>
    <t>Digital voltage/current/resistance measurement</t>
  </si>
  <si>
    <t>Electrical testing and troubleshooting</t>
  </si>
  <si>
    <t>Anderson SB50 Connector</t>
  </si>
  <si>
    <t>600V, 50A, Blue</t>
  </si>
  <si>
    <t>High-current battery/power connection</t>
  </si>
  <si>
    <t>Emergency Switch</t>
  </si>
  <si>
    <t>Red metal-head emergency switch</t>
  </si>
  <si>
    <t>Emergency stop / power isolation</t>
  </si>
  <si>
    <t>Yellow, 48A, pack of 25</t>
  </si>
  <si>
    <t>Secure high-current electrical wiring</t>
  </si>
  <si>
    <t>MB102 Breadboard</t>
  </si>
  <si>
    <t>830-point solderless prototype board</t>
  </si>
  <si>
    <t>Electronics prototyping</t>
  </si>
  <si>
    <t>15×30 cm General Purpose Zero PCB</t>
  </si>
  <si>
    <t>General-purpose PCB</t>
  </si>
  <si>
    <t>Permanent electronics assembly</t>
  </si>
  <si>
    <t>Payment method</t>
  </si>
  <si>
    <t>Online</t>
  </si>
  <si>
    <t>RV5.5-6 Ring Terminal ,end connectors</t>
  </si>
  <si>
    <t>Date</t>
  </si>
  <si>
    <t xml:space="preserve">motor,gearbox,controler,battary,shafts </t>
  </si>
  <si>
    <t xml:space="preserve">1500 watt </t>
  </si>
  <si>
    <t>206 made payment upi</t>
  </si>
  <si>
    <t xml:space="preserve">ESP32Node mcu </t>
  </si>
  <si>
    <t>esp32</t>
  </si>
  <si>
    <t>VCU</t>
  </si>
  <si>
    <t>online</t>
  </si>
  <si>
    <t>DC-DC bunk coverter 7-100v 7semi</t>
  </si>
  <si>
    <t xml:space="preserve">7 to 100v to 5v </t>
  </si>
  <si>
    <t>to reduce the volatage and supply to VCU</t>
  </si>
  <si>
    <t>NPN TANSISTOR pack 5</t>
  </si>
  <si>
    <t>2N222A</t>
  </si>
  <si>
    <t>To swith on reverse</t>
  </si>
  <si>
    <t>stepper motor drive module</t>
  </si>
  <si>
    <t>uln2003</t>
  </si>
  <si>
    <t>GST</t>
  </si>
  <si>
    <t>Other charges,delvery</t>
  </si>
  <si>
    <t>motor,gearbox,shafts</t>
  </si>
  <si>
    <t>1200watt</t>
  </si>
  <si>
    <t xml:space="preserve">to keep bot turning </t>
  </si>
  <si>
    <t>tyre and disk</t>
  </si>
  <si>
    <t>Power weeder / mini tiller wheels</t>
  </si>
  <si>
    <t>4.00-8 Size</t>
  </si>
  <si>
    <t>nutts bolts</t>
  </si>
  <si>
    <t>2 in,2inch,1inch,1inch</t>
  </si>
  <si>
    <t>for fitting bolt and nutts</t>
  </si>
  <si>
    <t>bavel gears</t>
  </si>
  <si>
    <t>24mm</t>
  </si>
  <si>
    <t>bearings</t>
  </si>
  <si>
    <t>ucfl-205</t>
  </si>
  <si>
    <t>Bearings</t>
  </si>
  <si>
    <t>5v ,4 channel relay</t>
  </si>
  <si>
    <t>HW-316</t>
  </si>
  <si>
    <t>5V, 2 channel relay</t>
  </si>
  <si>
    <t>2 channel</t>
  </si>
  <si>
    <t>relay for reverse and forword</t>
  </si>
  <si>
    <t>40x1 berg strip</t>
  </si>
  <si>
    <t>40x1 berg</t>
  </si>
  <si>
    <t>for for microcontroler replacement</t>
  </si>
  <si>
    <t>1.8 tft dispay</t>
  </si>
  <si>
    <t>tft</t>
  </si>
  <si>
    <t>esp32-s3</t>
  </si>
  <si>
    <t>n16r18</t>
  </si>
  <si>
    <t>hall senor</t>
  </si>
  <si>
    <t>hall sensor</t>
  </si>
  <si>
    <t>soldering bit</t>
  </si>
  <si>
    <t>0.8mm</t>
  </si>
  <si>
    <t>resistor box</t>
  </si>
  <si>
    <t>150 values</t>
  </si>
  <si>
    <t>for easy micocontroler replacement</t>
  </si>
  <si>
    <t>display</t>
  </si>
  <si>
    <t>to measure the speed</t>
  </si>
  <si>
    <t>easy soldering</t>
  </si>
  <si>
    <t>circuit</t>
  </si>
  <si>
    <t>Shaft -hexgone</t>
  </si>
  <si>
    <t>hexgon</t>
  </si>
  <si>
    <t>hexgone shaft</t>
  </si>
  <si>
    <t>round shaft</t>
  </si>
  <si>
    <t>25mm</t>
  </si>
  <si>
    <t>shaft for wheels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</si>
</sst>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9.26953125" style="8" bestFit="1" customWidth="1"/>
    <col min="2" max="2" width="24.54296875" style="11" bestFit="1" customWidth="1"/>
    <col min="3" max="3" width="17.1796875" style="5" customWidth="1"/>
    <col min="4" max="4" width="8.7265625" style="5"/>
    <col min="5" max="5" width="14.36328125" style="5" customWidth="1"/>
    <col min="6" max="7" width="17" style="5" customWidth="1"/>
    <col min="8" max="8" width="23.6328125" style="5" customWidth="1"/>
    <col min="9" max="9" width="36.08984375" style="5" customWidth="1"/>
    <col min="10" max="10" width="33" style="5" customWidth="1"/>
    <col min="11" max="16384" width="8.7265625" style="5"/>
  </cols>
  <sheetData>
    <row r="1" spans="1:10" s="3" customFormat="1" ht="30" x14ac:dyDescent="0.35">
      <c r="A1" s="6" t="s">
        <v>38</v>
      </c>
      <c r="B1" s="9" t="s">
        <v>0</v>
      </c>
      <c r="C1" s="2" t="s">
        <v>1</v>
      </c>
      <c r="D1" s="2" t="s">
        <v>2</v>
      </c>
      <c r="E1" s="2" t="s">
        <v>5</v>
      </c>
      <c r="F1" s="2" t="s">
        <v>54</v>
      </c>
      <c r="G1" s="2" t="s">
        <v>55</v>
      </c>
      <c r="H1" s="2" t="s">
        <v>4</v>
      </c>
      <c r="I1" s="2" t="s">
        <v>3</v>
      </c>
      <c r="J1" s="2" t="s">
        <v>35</v>
      </c>
    </row>
    <row r="2" spans="1:10" x14ac:dyDescent="0.35">
      <c r="A2" s="7">
        <v>46188</v>
      </c>
      <c r="B2" s="10" t="s">
        <v>6</v>
      </c>
      <c r="C2" s="4" t="s">
        <v>7</v>
      </c>
      <c r="D2" s="4">
        <v>1</v>
      </c>
      <c r="E2" s="13">
        <v>1228.81</v>
      </c>
      <c r="F2" s="4">
        <v>323.23</v>
      </c>
      <c r="G2" s="4">
        <v>0</v>
      </c>
      <c r="H2" s="12">
        <f>D2*VALUE(SUBSTITUTE(E2,"",""))+VALUE(SUBSTITUTE(F2,"",""))+G2</f>
        <v>1552.04</v>
      </c>
      <c r="I2" s="4" t="s">
        <v>8</v>
      </c>
      <c r="J2" s="4" t="s">
        <v>36</v>
      </c>
    </row>
    <row r="3" spans="1:10" ht="43.5" x14ac:dyDescent="0.35">
      <c r="A3" s="7">
        <v>46188</v>
      </c>
      <c r="B3" s="10" t="s">
        <v>9</v>
      </c>
      <c r="C3" s="4" t="s">
        <v>10</v>
      </c>
      <c r="D3" s="4">
        <v>1</v>
      </c>
      <c r="E3" s="4">
        <v>495</v>
      </c>
      <c r="F3" s="4">
        <v>130.22999999999999</v>
      </c>
      <c r="G3" s="4">
        <v>0</v>
      </c>
      <c r="H3" s="12">
        <f>D3*VALUE(SUBSTITUTE(E3,"",""))+VALUE(SUBSTITUTE(F3,"",""))+G3</f>
        <v>625.23</v>
      </c>
      <c r="I3" s="4" t="s">
        <v>11</v>
      </c>
      <c r="J3" s="4" t="s">
        <v>36</v>
      </c>
    </row>
    <row r="4" spans="1:10" ht="29" x14ac:dyDescent="0.35">
      <c r="A4" s="7">
        <v>46188</v>
      </c>
      <c r="B4" s="10" t="s">
        <v>12</v>
      </c>
      <c r="C4" s="4" t="s">
        <v>13</v>
      </c>
      <c r="D4" s="4">
        <v>1</v>
      </c>
      <c r="E4" s="4">
        <v>101.69</v>
      </c>
      <c r="F4" s="4">
        <v>26.76</v>
      </c>
      <c r="G4" s="4">
        <v>0</v>
      </c>
      <c r="H4" s="12">
        <f>D4*VALUE(SUBSTITUTE(E4,"",""))+VALUE(SUBSTITUTE(F4,"",""))+G4</f>
        <v>128.44999999999999</v>
      </c>
      <c r="I4" s="4" t="s">
        <v>14</v>
      </c>
      <c r="J4" s="4" t="s">
        <v>36</v>
      </c>
    </row>
    <row r="5" spans="1:10" ht="29" x14ac:dyDescent="0.35">
      <c r="A5" s="7">
        <v>46188</v>
      </c>
      <c r="B5" s="10" t="s">
        <v>15</v>
      </c>
      <c r="C5" s="4" t="s">
        <v>16</v>
      </c>
      <c r="D5" s="4">
        <v>1</v>
      </c>
      <c r="E5" s="4">
        <v>108.47</v>
      </c>
      <c r="F5" s="4">
        <v>28.55</v>
      </c>
      <c r="G5" s="4">
        <v>0</v>
      </c>
      <c r="H5" s="12">
        <f>D5*VALUE(SUBSTITUTE(E5,"",""))+VALUE(SUBSTITUTE(F5,"",""))+G5</f>
        <v>137.02000000000001</v>
      </c>
      <c r="I5" s="4" t="s">
        <v>17</v>
      </c>
      <c r="J5" s="4" t="s">
        <v>36</v>
      </c>
    </row>
    <row r="6" spans="1:10" ht="58" x14ac:dyDescent="0.35">
      <c r="A6" s="7">
        <v>46188</v>
      </c>
      <c r="B6" s="10" t="s">
        <v>18</v>
      </c>
      <c r="C6" s="4" t="s">
        <v>19</v>
      </c>
      <c r="D6" s="4">
        <v>1</v>
      </c>
      <c r="E6" s="4">
        <v>795</v>
      </c>
      <c r="F6" s="4">
        <v>209.13</v>
      </c>
      <c r="G6" s="4">
        <v>0</v>
      </c>
      <c r="H6" s="12">
        <f>D6*VALUE(SUBSTITUTE(E6,"",""))+VALUE(SUBSTITUTE(F6,"",""))+G6</f>
        <v>1004.13</v>
      </c>
      <c r="I6" s="4" t="s">
        <v>20</v>
      </c>
      <c r="J6" s="4" t="s">
        <v>36</v>
      </c>
    </row>
    <row r="7" spans="1:10" x14ac:dyDescent="0.35">
      <c r="A7" s="7">
        <v>46188</v>
      </c>
      <c r="B7" s="10" t="s">
        <v>21</v>
      </c>
      <c r="C7" s="4" t="s">
        <v>22</v>
      </c>
      <c r="D7" s="4">
        <v>2</v>
      </c>
      <c r="E7" s="4">
        <v>110.17</v>
      </c>
      <c r="F7" s="4">
        <v>57.97</v>
      </c>
      <c r="G7" s="4">
        <v>0</v>
      </c>
      <c r="H7" s="12">
        <f>D7*VALUE(SUBSTITUTE(E7,"",""))+VALUE(SUBSTITUTE(F7,"",""))+G7</f>
        <v>278.31</v>
      </c>
      <c r="I7" s="4" t="s">
        <v>23</v>
      </c>
      <c r="J7" s="4" t="s">
        <v>36</v>
      </c>
    </row>
    <row r="8" spans="1:10" ht="29" x14ac:dyDescent="0.35">
      <c r="A8" s="7">
        <v>46188</v>
      </c>
      <c r="B8" s="10" t="s">
        <v>24</v>
      </c>
      <c r="C8" s="4" t="s">
        <v>25</v>
      </c>
      <c r="D8" s="4">
        <v>1</v>
      </c>
      <c r="E8" s="4">
        <v>79.66</v>
      </c>
      <c r="F8" s="4">
        <v>20.96</v>
      </c>
      <c r="G8" s="4">
        <v>0</v>
      </c>
      <c r="H8" s="12">
        <f>D8*VALUE(SUBSTITUTE(E8,"",""))+VALUE(SUBSTITUTE(F8,"",""))+G8</f>
        <v>100.62</v>
      </c>
      <c r="I8" s="4" t="s">
        <v>26</v>
      </c>
      <c r="J8" s="4" t="s">
        <v>36</v>
      </c>
    </row>
    <row r="9" spans="1:10" ht="29" x14ac:dyDescent="0.35">
      <c r="A9" s="7">
        <v>46188</v>
      </c>
      <c r="B9" s="10" t="s">
        <v>37</v>
      </c>
      <c r="C9" s="4" t="s">
        <v>27</v>
      </c>
      <c r="D9" s="4">
        <v>1</v>
      </c>
      <c r="E9" s="4">
        <v>63.5</v>
      </c>
      <c r="F9" s="4">
        <v>16.71</v>
      </c>
      <c r="G9" s="4">
        <v>0</v>
      </c>
      <c r="H9" s="12">
        <f>D9*VALUE(SUBSTITUTE(E9,"",""))+VALUE(SUBSTITUTE(F9,"",""))+G9</f>
        <v>80.210000000000008</v>
      </c>
      <c r="I9" s="4" t="s">
        <v>28</v>
      </c>
      <c r="J9" s="4" t="s">
        <v>36</v>
      </c>
    </row>
    <row r="10" spans="1:10" ht="43.5" x14ac:dyDescent="0.35">
      <c r="A10" s="7">
        <v>46188</v>
      </c>
      <c r="B10" s="10" t="s">
        <v>29</v>
      </c>
      <c r="C10" s="4" t="s">
        <v>30</v>
      </c>
      <c r="D10" s="4">
        <v>1</v>
      </c>
      <c r="E10" s="4">
        <v>70</v>
      </c>
      <c r="F10" s="4">
        <v>18.420000000000002</v>
      </c>
      <c r="G10" s="4">
        <v>0</v>
      </c>
      <c r="H10" s="12">
        <f>D10*VALUE(SUBSTITUTE(E10,"",""))+VALUE(SUBSTITUTE(F10,"",""))+G10</f>
        <v>88.42</v>
      </c>
      <c r="I10" s="4" t="s">
        <v>31</v>
      </c>
      <c r="J10" s="4" t="s">
        <v>36</v>
      </c>
    </row>
    <row r="11" spans="1:10" ht="29" x14ac:dyDescent="0.35">
      <c r="A11" s="7">
        <v>46188</v>
      </c>
      <c r="B11" s="10" t="s">
        <v>32</v>
      </c>
      <c r="C11" s="4" t="s">
        <v>33</v>
      </c>
      <c r="D11" s="4">
        <v>1</v>
      </c>
      <c r="E11" s="4">
        <v>190.68</v>
      </c>
      <c r="F11" s="4">
        <v>50.18</v>
      </c>
      <c r="G11" s="4">
        <v>0</v>
      </c>
      <c r="H11" s="12">
        <f>D11*VALUE(SUBSTITUTE(E11,"",""))+VALUE(SUBSTITUTE(F11,"",""))+G11</f>
        <v>240.86</v>
      </c>
      <c r="I11" s="4" t="s">
        <v>34</v>
      </c>
      <c r="J11" s="4" t="s">
        <v>36</v>
      </c>
    </row>
    <row r="12" spans="1:10" x14ac:dyDescent="0.35">
      <c r="A12" s="7">
        <v>46186</v>
      </c>
      <c r="B12" s="11" t="s">
        <v>39</v>
      </c>
      <c r="C12" s="5" t="s">
        <v>40</v>
      </c>
      <c r="D12" s="5">
        <v>1</v>
      </c>
      <c r="E12" s="5">
        <v>5000</v>
      </c>
      <c r="F12" s="5">
        <v>0</v>
      </c>
      <c r="G12" s="4">
        <v>0</v>
      </c>
      <c r="H12" s="12">
        <f>D12*VALUE(SUBSTITUTE(E12,"",""))+VALUE(SUBSTITUTE(F12,"",""))+G12</f>
        <v>5000</v>
      </c>
      <c r="I12" s="5" t="s">
        <v>41</v>
      </c>
    </row>
    <row r="13" spans="1:10" x14ac:dyDescent="0.35">
      <c r="A13" s="7">
        <v>46217</v>
      </c>
      <c r="B13" s="11" t="s">
        <v>42</v>
      </c>
      <c r="C13" s="5" t="s">
        <v>43</v>
      </c>
      <c r="D13" s="5">
        <v>1</v>
      </c>
      <c r="E13" s="5">
        <v>389</v>
      </c>
      <c r="F13" s="5">
        <v>59</v>
      </c>
      <c r="G13" s="4">
        <v>0</v>
      </c>
      <c r="H13" s="12">
        <f>D13*VALUE(SUBSTITUTE(E13,"",""))+VALUE(SUBSTITUTE(F13,"",""))+G13</f>
        <v>448</v>
      </c>
      <c r="I13" s="5" t="s">
        <v>44</v>
      </c>
      <c r="J13" s="5" t="s">
        <v>45</v>
      </c>
    </row>
    <row r="14" spans="1:10" x14ac:dyDescent="0.35">
      <c r="A14" s="7">
        <v>46217</v>
      </c>
      <c r="B14" s="11" t="s">
        <v>46</v>
      </c>
      <c r="C14" s="5" t="s">
        <v>47</v>
      </c>
      <c r="D14" s="5">
        <v>1</v>
      </c>
      <c r="E14" s="5">
        <v>548</v>
      </c>
      <c r="F14" s="5">
        <v>83</v>
      </c>
      <c r="G14" s="4">
        <v>0</v>
      </c>
      <c r="H14" s="12">
        <f>D14*VALUE(SUBSTITUTE(E14,"",""))+VALUE(SUBSTITUTE(F14,"",""))+G14</f>
        <v>631</v>
      </c>
      <c r="I14" s="5" t="s">
        <v>48</v>
      </c>
      <c r="J14" s="5" t="s">
        <v>45</v>
      </c>
    </row>
    <row r="15" spans="1:10" x14ac:dyDescent="0.35">
      <c r="A15" s="7">
        <v>46217</v>
      </c>
      <c r="B15" s="11" t="s">
        <v>49</v>
      </c>
      <c r="C15" s="5" t="s">
        <v>50</v>
      </c>
      <c r="D15" s="5">
        <v>1</v>
      </c>
      <c r="E15" s="5">
        <v>90</v>
      </c>
      <c r="F15" s="5">
        <v>13</v>
      </c>
      <c r="G15" s="4">
        <v>0</v>
      </c>
      <c r="H15" s="12">
        <f>D15*VALUE(SUBSTITUTE(E15,"",""))+VALUE(SUBSTITUTE(F15,"",""))+G15</f>
        <v>103</v>
      </c>
      <c r="I15" s="5" t="s">
        <v>51</v>
      </c>
      <c r="J15" s="5" t="s">
        <v>45</v>
      </c>
    </row>
    <row r="16" spans="1:10" x14ac:dyDescent="0.35">
      <c r="A16" s="7">
        <v>46217</v>
      </c>
      <c r="B16" s="11" t="s">
        <v>52</v>
      </c>
      <c r="C16" s="5" t="s">
        <v>53</v>
      </c>
      <c r="D16" s="5">
        <v>1</v>
      </c>
      <c r="E16" s="5">
        <v>41</v>
      </c>
      <c r="F16" s="5">
        <v>6</v>
      </c>
      <c r="G16" s="4">
        <v>0</v>
      </c>
      <c r="H16" s="12">
        <f>D16*VALUE(SUBSTITUTE(E16,"",""))+VALUE(SUBSTITUTE(F16,"",""))+G16</f>
        <v>47</v>
      </c>
      <c r="I16" s="5" t="s">
        <v>51</v>
      </c>
      <c r="J16" s="5" t="s">
        <v>45</v>
      </c>
    </row>
    <row r="17" spans="1:9" x14ac:dyDescent="0.35">
      <c r="A17" s="7">
        <v>46207</v>
      </c>
      <c r="B17" s="11" t="s">
        <v>56</v>
      </c>
      <c r="C17" s="5" t="s">
        <v>57</v>
      </c>
      <c r="D17" s="5">
        <v>2</v>
      </c>
      <c r="E17" s="5">
        <v>2500</v>
      </c>
      <c r="F17" s="5">
        <v>0</v>
      </c>
      <c r="G17" s="5">
        <v>0</v>
      </c>
      <c r="H17" s="12">
        <f>D17*VALUE(SUBSTITUTE(E17,"",""))+VALUE(SUBSTITUTE(F17,"",""))+G17</f>
        <v>5000</v>
      </c>
      <c r="I17" s="5" t="s">
        <v>58</v>
      </c>
    </row>
    <row r="18" spans="1:9" x14ac:dyDescent="0.35">
      <c r="A18" s="7">
        <v>46234</v>
      </c>
      <c r="B18" s="11" t="s">
        <v>59</v>
      </c>
      <c r="C18" t="s">
        <v>61</v>
      </c>
      <c r="D18" s="5">
        <v>2</v>
      </c>
      <c r="E18" s="5">
        <v>1666</v>
      </c>
      <c r="F18" s="5">
        <v>166</v>
      </c>
      <c r="H18" s="12">
        <f>D18*VALUE(SUBSTITUTE(E18,"",""))+VALUE(SUBSTITUTE(F18,"",""))+G18</f>
        <v>3498</v>
      </c>
      <c r="I18" s="1" t="s">
        <v>60</v>
      </c>
    </row>
    <row r="19" spans="1:9" x14ac:dyDescent="0.35">
      <c r="A19" s="7">
        <v>46211</v>
      </c>
      <c r="B19" s="11" t="s">
        <v>62</v>
      </c>
      <c r="C19" s="5" t="s">
        <v>63</v>
      </c>
      <c r="D19" s="5">
        <v>1</v>
      </c>
      <c r="E19" s="5">
        <v>260</v>
      </c>
      <c r="F19" s="5">
        <v>0</v>
      </c>
      <c r="G19" s="5">
        <v>0</v>
      </c>
      <c r="H19" s="12">
        <f>D19*VALUE(SUBSTITUTE(E19,"",""))+VALUE(SUBSTITUTE(F19,"",""))+G19</f>
        <v>260</v>
      </c>
      <c r="I19" s="5" t="s">
        <v>64</v>
      </c>
    </row>
    <row r="20" spans="1:9" x14ac:dyDescent="0.35">
      <c r="A20" s="7">
        <v>46209</v>
      </c>
      <c r="B20" s="11" t="s">
        <v>65</v>
      </c>
      <c r="C20" s="5" t="s">
        <v>66</v>
      </c>
      <c r="D20" s="5">
        <v>8</v>
      </c>
      <c r="E20" s="5">
        <v>462.5</v>
      </c>
      <c r="F20" s="5">
        <v>0</v>
      </c>
      <c r="G20" s="5">
        <v>0</v>
      </c>
      <c r="H20" s="12">
        <f>D20*VALUE(SUBSTITUTE(E20,"",""))+VALUE(SUBSTITUTE(F20,"",""))+G20</f>
        <v>3700</v>
      </c>
      <c r="I20" s="11" t="s">
        <v>65</v>
      </c>
    </row>
    <row r="21" spans="1:9" x14ac:dyDescent="0.35">
      <c r="A21" s="7">
        <v>46235</v>
      </c>
      <c r="B21" s="11" t="s">
        <v>65</v>
      </c>
      <c r="C21" s="5" t="s">
        <v>66</v>
      </c>
      <c r="D21" s="5">
        <v>2</v>
      </c>
      <c r="E21" s="5">
        <v>750</v>
      </c>
      <c r="F21" s="5">
        <v>0</v>
      </c>
      <c r="G21" s="5">
        <v>0</v>
      </c>
      <c r="H21" s="12">
        <f>D21*VALUE(SUBSTITUTE(E21,"",""))+VALUE(SUBSTITUTE(F21,"",""))+G21</f>
        <v>1500</v>
      </c>
      <c r="I21" s="11" t="s">
        <v>65</v>
      </c>
    </row>
    <row r="22" spans="1:9" x14ac:dyDescent="0.35">
      <c r="A22" s="7">
        <v>46208</v>
      </c>
      <c r="B22" s="11" t="s">
        <v>67</v>
      </c>
      <c r="C22" s="5" t="s">
        <v>68</v>
      </c>
      <c r="D22" s="5">
        <v>8</v>
      </c>
      <c r="E22" s="5">
        <v>350</v>
      </c>
      <c r="F22" s="5">
        <v>0</v>
      </c>
      <c r="G22" s="5">
        <v>0</v>
      </c>
      <c r="H22" s="12">
        <f>D22*VALUE(SUBSTITUTE(E22,"",""))+VALUE(SUBSTITUTE(F22,"",""))+G22</f>
        <v>2800</v>
      </c>
      <c r="I22" s="11" t="s">
        <v>67</v>
      </c>
    </row>
    <row r="23" spans="1:9" x14ac:dyDescent="0.35">
      <c r="A23" s="7">
        <v>46235</v>
      </c>
      <c r="B23" s="11" t="s">
        <v>69</v>
      </c>
      <c r="C23" s="5" t="s">
        <v>68</v>
      </c>
      <c r="D23" s="5">
        <v>2</v>
      </c>
      <c r="E23" s="5">
        <v>200</v>
      </c>
      <c r="F23" s="5">
        <v>75</v>
      </c>
      <c r="G23" s="5">
        <v>0</v>
      </c>
      <c r="H23" s="12">
        <f>D23*VALUE(SUBSTITUTE(E23,"",""))+VALUE(SUBSTITUTE(F23,"",""))+G23</f>
        <v>475</v>
      </c>
      <c r="I23" s="11" t="s">
        <v>69</v>
      </c>
    </row>
    <row r="24" spans="1:9" x14ac:dyDescent="0.35">
      <c r="A24" s="7">
        <v>46246</v>
      </c>
      <c r="B24" s="11" t="s">
        <v>69</v>
      </c>
      <c r="C24" s="5" t="s">
        <v>68</v>
      </c>
      <c r="D24" s="5">
        <v>2</v>
      </c>
      <c r="E24" s="5">
        <v>200</v>
      </c>
      <c r="F24" s="5">
        <v>0</v>
      </c>
      <c r="G24" s="5">
        <v>0</v>
      </c>
      <c r="H24" s="12">
        <f>D24*VALUE(SUBSTITUTE(E24,"",""))+VALUE(SUBSTITUTE(F24,"",""))+G24</f>
        <v>400</v>
      </c>
      <c r="I24" s="11" t="s">
        <v>69</v>
      </c>
    </row>
    <row r="25" spans="1:9" x14ac:dyDescent="0.35">
      <c r="A25" s="7">
        <v>46246</v>
      </c>
      <c r="B25" s="11" t="s">
        <v>70</v>
      </c>
      <c r="C25" s="5" t="s">
        <v>71</v>
      </c>
      <c r="D25" s="5">
        <v>1</v>
      </c>
      <c r="E25" s="5">
        <v>170</v>
      </c>
      <c r="F25" s="5">
        <v>0</v>
      </c>
      <c r="G25" s="5">
        <v>0</v>
      </c>
      <c r="H25" s="12">
        <f>D25*VALUE(SUBSTITUTE(E25,"",""))+VALUE(SUBSTITUTE(F25,"",""))+G25</f>
        <v>170</v>
      </c>
      <c r="I25" s="5" t="s">
        <v>74</v>
      </c>
    </row>
    <row r="26" spans="1:9" x14ac:dyDescent="0.35">
      <c r="A26" s="7">
        <v>46246</v>
      </c>
      <c r="B26" s="11" t="s">
        <v>72</v>
      </c>
      <c r="C26" s="5" t="s">
        <v>73</v>
      </c>
      <c r="D26" s="5">
        <v>1</v>
      </c>
      <c r="E26" s="5">
        <v>80</v>
      </c>
      <c r="F26" s="5">
        <v>0</v>
      </c>
      <c r="G26" s="5">
        <v>0</v>
      </c>
      <c r="H26" s="12">
        <f>D26*VALUE(SUBSTITUTE(E26,"",""))+VALUE(SUBSTITUTE(F26,"",""))+G26</f>
        <v>80</v>
      </c>
      <c r="I26" s="5" t="s">
        <v>74</v>
      </c>
    </row>
    <row r="27" spans="1:9" x14ac:dyDescent="0.35">
      <c r="A27" s="7">
        <v>46246</v>
      </c>
      <c r="B27" s="11" t="s">
        <v>75</v>
      </c>
      <c r="C27" s="5" t="s">
        <v>76</v>
      </c>
      <c r="D27" s="5">
        <v>2</v>
      </c>
      <c r="E27" s="5">
        <v>8</v>
      </c>
      <c r="F27" s="5">
        <v>0</v>
      </c>
      <c r="G27" s="5">
        <v>0</v>
      </c>
      <c r="H27" s="12">
        <f>D27*VALUE(SUBSTITUTE(E27,"",""))+VALUE(SUBSTITUTE(F27,"",""))+G27</f>
        <v>16</v>
      </c>
      <c r="I27" s="5" t="s">
        <v>77</v>
      </c>
    </row>
    <row r="28" spans="1:9" x14ac:dyDescent="0.35">
      <c r="A28" s="7">
        <v>46246</v>
      </c>
      <c r="B28" s="11" t="s">
        <v>78</v>
      </c>
      <c r="C28" s="5" t="s">
        <v>79</v>
      </c>
      <c r="D28" s="5">
        <v>1</v>
      </c>
      <c r="E28" s="5">
        <v>350</v>
      </c>
      <c r="F28" s="5">
        <v>0</v>
      </c>
      <c r="G28" s="5">
        <v>0</v>
      </c>
      <c r="H28" s="12">
        <f>D28*VALUE(SUBSTITUTE(E28,"",""))+VALUE(SUBSTITUTE(F28,"",""))+G28</f>
        <v>350</v>
      </c>
      <c r="I28" s="5" t="s">
        <v>88</v>
      </c>
    </row>
    <row r="29" spans="1:9" x14ac:dyDescent="0.35">
      <c r="A29" s="7">
        <v>46246</v>
      </c>
      <c r="B29" s="11" t="s">
        <v>80</v>
      </c>
      <c r="C29" s="5" t="s">
        <v>81</v>
      </c>
      <c r="D29" s="5">
        <v>1</v>
      </c>
      <c r="E29" s="5">
        <v>600</v>
      </c>
      <c r="F29" s="5">
        <v>0</v>
      </c>
      <c r="G29" s="5">
        <v>0</v>
      </c>
      <c r="H29" s="12">
        <f>D29*VALUE(SUBSTITUTE(E29,"",""))+VALUE(SUBSTITUTE(F29,"",""))+G29</f>
        <v>600</v>
      </c>
      <c r="I29" s="5" t="s">
        <v>89</v>
      </c>
    </row>
    <row r="30" spans="1:9" x14ac:dyDescent="0.35">
      <c r="A30" s="7">
        <v>46246</v>
      </c>
      <c r="B30" s="11" t="s">
        <v>82</v>
      </c>
      <c r="C30" s="5" t="s">
        <v>83</v>
      </c>
      <c r="D30" s="5">
        <v>2</v>
      </c>
      <c r="E30" s="5">
        <v>150</v>
      </c>
      <c r="F30" s="5">
        <v>0</v>
      </c>
      <c r="G30" s="5">
        <v>0</v>
      </c>
      <c r="H30" s="12">
        <f>D30*VALUE(SUBSTITUTE(E30,"",""))+VALUE(SUBSTITUTE(F30,"",""))+G30</f>
        <v>300</v>
      </c>
      <c r="I30" s="5" t="s">
        <v>90</v>
      </c>
    </row>
    <row r="31" spans="1:9" x14ac:dyDescent="0.35">
      <c r="A31" s="7">
        <v>46246</v>
      </c>
      <c r="B31" s="11" t="s">
        <v>84</v>
      </c>
      <c r="C31" s="5" t="s">
        <v>85</v>
      </c>
      <c r="D31" s="5">
        <v>2</v>
      </c>
      <c r="E31" s="5">
        <v>150</v>
      </c>
      <c r="F31" s="5">
        <v>0</v>
      </c>
      <c r="G31" s="5">
        <v>0</v>
      </c>
      <c r="H31" s="12">
        <f>D31*VALUE(SUBSTITUTE(E31,"",""))+VALUE(SUBSTITUTE(F31,"",""))+G31</f>
        <v>300</v>
      </c>
      <c r="I31" s="5" t="s">
        <v>91</v>
      </c>
    </row>
    <row r="32" spans="1:9" x14ac:dyDescent="0.35">
      <c r="A32" s="7">
        <v>46246</v>
      </c>
      <c r="B32" s="11" t="s">
        <v>86</v>
      </c>
      <c r="C32" s="5" t="s">
        <v>87</v>
      </c>
      <c r="D32" s="5">
        <v>1</v>
      </c>
      <c r="E32" s="5">
        <v>45</v>
      </c>
      <c r="F32" s="5">
        <v>0</v>
      </c>
      <c r="G32" s="5">
        <v>0</v>
      </c>
      <c r="H32" s="12">
        <f>D32*VALUE(SUBSTITUTE(E32,"",""))+VALUE(SUBSTITUTE(F32,"",""))+G32</f>
        <v>45</v>
      </c>
      <c r="I32" s="5" t="s">
        <v>92</v>
      </c>
    </row>
    <row r="33" spans="1:9" x14ac:dyDescent="0.35">
      <c r="A33" s="7">
        <v>46246</v>
      </c>
      <c r="B33" s="11" t="s">
        <v>93</v>
      </c>
      <c r="C33" s="5" t="s">
        <v>94</v>
      </c>
      <c r="D33" s="5">
        <v>1</v>
      </c>
      <c r="E33" s="5">
        <v>300</v>
      </c>
      <c r="F33" s="5">
        <v>0</v>
      </c>
      <c r="G33" s="5">
        <v>0</v>
      </c>
      <c r="H33" s="12">
        <f>D33*VALUE(SUBSTITUTE(E33,"",""))+VALUE(SUBSTITUTE(F33,"",""))+G33</f>
        <v>300</v>
      </c>
      <c r="I33" s="5" t="s">
        <v>95</v>
      </c>
    </row>
    <row r="34" spans="1:9" x14ac:dyDescent="0.35">
      <c r="A34" s="7">
        <v>46246</v>
      </c>
      <c r="B34" s="11" t="s">
        <v>96</v>
      </c>
      <c r="C34" s="5" t="s">
        <v>97</v>
      </c>
      <c r="D34" s="5">
        <v>1</v>
      </c>
      <c r="E34" s="5">
        <v>800</v>
      </c>
      <c r="F34" s="5">
        <v>0</v>
      </c>
      <c r="G34" s="5">
        <v>0</v>
      </c>
      <c r="H34" s="12">
        <f>D34*VALUE(SUBSTITUTE(E34,"",""))+VALUE(SUBSTITUTE(F34,"",""))+G34</f>
        <v>800</v>
      </c>
      <c r="I34" s="5" t="s">
        <v>98</v>
      </c>
    </row>
    <row r="35" spans="1:9" x14ac:dyDescent="0.35">
      <c r="H35" s="12"/>
    </row>
    <row r="36" spans="1:9" x14ac:dyDescent="0.35">
      <c r="H36" s="12"/>
    </row>
    <row r="37" spans="1:9" x14ac:dyDescent="0.35">
      <c r="H37" s="12"/>
    </row>
    <row r="38" spans="1:9" x14ac:dyDescent="0.35">
      <c r="E38" s="5">
        <v>8</v>
      </c>
      <c r="H38" s="12"/>
    </row>
    <row r="39" spans="1:9" x14ac:dyDescent="0.35">
      <c r="E39" s="5">
        <v>2</v>
      </c>
      <c r="H39" s="12"/>
    </row>
    <row r="40" spans="1:9" x14ac:dyDescent="0.35">
      <c r="E40" s="5">
        <v>8</v>
      </c>
      <c r="H40" s="12"/>
    </row>
    <row r="41" spans="1:9" x14ac:dyDescent="0.35">
      <c r="E41" s="5">
        <v>2</v>
      </c>
      <c r="H41" s="12"/>
    </row>
    <row r="42" spans="1:9" x14ac:dyDescent="0.35">
      <c r="E42" s="5">
        <v>2</v>
      </c>
      <c r="H42" s="12"/>
    </row>
    <row r="43" spans="1:9" x14ac:dyDescent="0.35">
      <c r="E43" s="5">
        <v>1</v>
      </c>
      <c r="H43" s="12"/>
    </row>
    <row r="44" spans="1:9" x14ac:dyDescent="0.35">
      <c r="E44" s="5">
        <v>1</v>
      </c>
      <c r="H44" s="12"/>
    </row>
    <row r="45" spans="1:9" x14ac:dyDescent="0.35">
      <c r="E45" s="5">
        <v>2</v>
      </c>
      <c r="H45" s="12"/>
    </row>
    <row r="46" spans="1:9" x14ac:dyDescent="0.35">
      <c r="E46" s="5">
        <v>1</v>
      </c>
      <c r="H46" s="12"/>
    </row>
    <row r="47" spans="1:9" x14ac:dyDescent="0.35">
      <c r="E47" s="5">
        <v>1</v>
      </c>
      <c r="H47" s="12"/>
    </row>
    <row r="48" spans="1:9" x14ac:dyDescent="0.35">
      <c r="E48" s="5">
        <v>2</v>
      </c>
      <c r="H48" s="12"/>
    </row>
    <row r="49" spans="5:8" x14ac:dyDescent="0.35">
      <c r="E49" s="5">
        <v>2</v>
      </c>
      <c r="H49" s="12"/>
    </row>
    <row r="50" spans="5:8" x14ac:dyDescent="0.35">
      <c r="E50" s="5">
        <v>1</v>
      </c>
      <c r="H50" s="12"/>
    </row>
    <row r="51" spans="5:8" x14ac:dyDescent="0.35">
      <c r="E51" s="5">
        <v>1</v>
      </c>
      <c r="H51" s="12"/>
    </row>
    <row r="52" spans="5:8" x14ac:dyDescent="0.35">
      <c r="E52" s="5">
        <v>1</v>
      </c>
      <c r="H52" s="12"/>
    </row>
    <row r="53" spans="5:8" x14ac:dyDescent="0.35">
      <c r="H53" s="12"/>
    </row>
    <row r="54" spans="5:8" x14ac:dyDescent="0.35">
      <c r="H54" s="12"/>
    </row>
    <row r="55" spans="5:8" x14ac:dyDescent="0.35">
      <c r="H55" s="12"/>
    </row>
    <row r="56" spans="5:8" x14ac:dyDescent="0.35">
      <c r="H56" s="12"/>
    </row>
    <row r="57" spans="5:8" x14ac:dyDescent="0.35">
      <c r="H57" s="12"/>
    </row>
    <row r="58" spans="5:8" x14ac:dyDescent="0.35">
      <c r="H58" s="12"/>
    </row>
    <row r="59" spans="5:8" x14ac:dyDescent="0.35">
      <c r="H59" s="12"/>
    </row>
    <row r="60" spans="5:8" x14ac:dyDescent="0.35">
      <c r="H60" s="12"/>
    </row>
    <row r="61" spans="5:8" x14ac:dyDescent="0.35">
      <c r="H61" s="12"/>
    </row>
    <row r="62" spans="5:8" x14ac:dyDescent="0.35">
      <c r="H62" s="12"/>
    </row>
    <row r="63" spans="5:8" x14ac:dyDescent="0.35">
      <c r="H63" s="12"/>
    </row>
    <row r="64" spans="5:8" x14ac:dyDescent="0.35">
      <c r="H64" s="12"/>
    </row>
    <row r="65" spans="8:8" x14ac:dyDescent="0.35">
      <c r="H65" s="12"/>
    </row>
    <row r="66" spans="8:8" x14ac:dyDescent="0.35">
      <c r="H66" s="12"/>
    </row>
    <row r="67" spans="8:8" x14ac:dyDescent="0.35">
      <c r="H67" s="12"/>
    </row>
    <row r="68" spans="8:8" x14ac:dyDescent="0.35">
      <c r="H68" s="12"/>
    </row>
    <row r="69" spans="8:8" x14ac:dyDescent="0.35">
      <c r="H69" s="12"/>
    </row>
    <row r="70" spans="8:8" x14ac:dyDescent="0.35">
      <c r="H70" s="12"/>
    </row>
    <row r="71" spans="8:8" x14ac:dyDescent="0.35">
      <c r="H71" s="12"/>
    </row>
    <row r="72" spans="8:8" x14ac:dyDescent="0.35">
      <c r="H72" s="12"/>
    </row>
    <row r="73" spans="8:8" x14ac:dyDescent="0.35">
      <c r="H73" s="12"/>
    </row>
    <row r="74" spans="8:8" x14ac:dyDescent="0.35">
      <c r="H74" s="12"/>
    </row>
    <row r="75" spans="8:8" x14ac:dyDescent="0.35">
      <c r="H75" s="12"/>
    </row>
    <row r="76" spans="8:8" x14ac:dyDescent="0.35">
      <c r="H76" s="12"/>
    </row>
    <row r="77" spans="8:8" x14ac:dyDescent="0.35">
      <c r="H77" s="12"/>
    </row>
    <row r="78" spans="8:8" x14ac:dyDescent="0.35">
      <c r="H78" s="12"/>
    </row>
    <row r="79" spans="8:8" x14ac:dyDescent="0.35">
      <c r="H79" s="12"/>
    </row>
    <row r="80" spans="8:8" x14ac:dyDescent="0.35">
      <c r="H80" s="12"/>
    </row>
    <row r="81" spans="8:8" x14ac:dyDescent="0.35">
      <c r="H81" s="12"/>
    </row>
    <row r="82" spans="8:8" x14ac:dyDescent="0.35">
      <c r="H82" s="12"/>
    </row>
    <row r="83" spans="8:8" x14ac:dyDescent="0.35">
      <c r="H83" s="12"/>
    </row>
    <row r="84" spans="8:8" x14ac:dyDescent="0.35">
      <c r="H84" s="12"/>
    </row>
    <row r="85" spans="8:8" x14ac:dyDescent="0.35">
      <c r="H85" s="12"/>
    </row>
    <row r="86" spans="8:8" x14ac:dyDescent="0.35">
      <c r="H86" s="12"/>
    </row>
    <row r="87" spans="8:8" x14ac:dyDescent="0.35">
      <c r="H87" s="12"/>
    </row>
    <row r="88" spans="8:8" x14ac:dyDescent="0.35">
      <c r="H88" s="12"/>
    </row>
    <row r="89" spans="8:8" x14ac:dyDescent="0.35">
      <c r="H89" s="12"/>
    </row>
    <row r="90" spans="8:8" x14ac:dyDescent="0.35">
      <c r="H90" s="12"/>
    </row>
    <row r="91" spans="8:8" x14ac:dyDescent="0.35">
      <c r="H91" s="12"/>
    </row>
    <row r="92" spans="8:8" x14ac:dyDescent="0.35">
      <c r="H92" s="12"/>
    </row>
    <row r="93" spans="8:8" x14ac:dyDescent="0.35">
      <c r="H93" s="12"/>
    </row>
    <row r="94" spans="8:8" x14ac:dyDescent="0.35">
      <c r="H94" s="12"/>
    </row>
    <row r="95" spans="8:8" x14ac:dyDescent="0.35">
      <c r="H95" s="12"/>
    </row>
    <row r="96" spans="8:8" x14ac:dyDescent="0.35">
      <c r="H96" s="12"/>
    </row>
    <row r="97" spans="8:8" x14ac:dyDescent="0.35">
      <c r="H97" s="12"/>
    </row>
    <row r="98" spans="8:8" x14ac:dyDescent="0.35">
      <c r="H98" s="12"/>
    </row>
    <row r="99" spans="8:8" x14ac:dyDescent="0.35">
      <c r="H99" s="12"/>
    </row>
    <row r="100" spans="8:8" x14ac:dyDescent="0.35">
      <c r="H100" s="12"/>
    </row>
    <row r="101" spans="8:8" x14ac:dyDescent="0.35">
      <c r="H101" s="12"/>
    </row>
    <row r="102" spans="8:8" x14ac:dyDescent="0.35">
      <c r="H102" s="12"/>
    </row>
    <row r="103" spans="8:8" x14ac:dyDescent="0.35">
      <c r="H103" s="12"/>
    </row>
    <row r="104" spans="8:8" x14ac:dyDescent="0.35">
      <c r="H104" s="12"/>
    </row>
    <row r="105" spans="8:8" x14ac:dyDescent="0.35">
      <c r="H105" s="12"/>
    </row>
    <row r="106" spans="8:8" x14ac:dyDescent="0.35">
      <c r="H106" s="12"/>
    </row>
    <row r="107" spans="8:8" x14ac:dyDescent="0.35">
      <c r="H107" s="12"/>
    </row>
    <row r="108" spans="8:8" x14ac:dyDescent="0.35">
      <c r="H108" s="12"/>
    </row>
    <row r="109" spans="8:8" x14ac:dyDescent="0.35">
      <c r="H109" s="12"/>
    </row>
    <row r="110" spans="8:8" x14ac:dyDescent="0.35">
      <c r="H110" s="12"/>
    </row>
    <row r="111" spans="8:8" x14ac:dyDescent="0.35">
      <c r="H111" s="12"/>
    </row>
    <row r="112" spans="8:8" x14ac:dyDescent="0.35">
      <c r="H112" s="12"/>
    </row>
    <row r="113" spans="8:8" x14ac:dyDescent="0.35">
      <c r="H113" s="12"/>
    </row>
    <row r="114" spans="8:8" x14ac:dyDescent="0.35">
      <c r="H114" s="12"/>
    </row>
    <row r="115" spans="8:8" x14ac:dyDescent="0.35">
      <c r="H115" s="12"/>
    </row>
    <row r="116" spans="8:8" x14ac:dyDescent="0.35">
      <c r="H116" s="12"/>
    </row>
    <row r="117" spans="8:8" x14ac:dyDescent="0.35">
      <c r="H117" s="12"/>
    </row>
    <row r="118" spans="8:8" x14ac:dyDescent="0.35">
      <c r="H118" s="12"/>
    </row>
    <row r="119" spans="8:8" x14ac:dyDescent="0.35">
      <c r="H119" s="12"/>
    </row>
    <row r="120" spans="8:8" x14ac:dyDescent="0.35">
      <c r="H120" s="12"/>
    </row>
    <row r="121" spans="8:8" x14ac:dyDescent="0.35">
      <c r="H121" s="12"/>
    </row>
    <row r="122" spans="8:8" x14ac:dyDescent="0.35">
      <c r="H122" s="12"/>
    </row>
    <row r="123" spans="8:8" x14ac:dyDescent="0.35">
      <c r="H123" s="12"/>
    </row>
    <row r="124" spans="8:8" x14ac:dyDescent="0.35">
      <c r="H124" s="12"/>
    </row>
    <row r="125" spans="8:8" x14ac:dyDescent="0.35">
      <c r="H125" s="12"/>
    </row>
    <row r="126" spans="8:8" x14ac:dyDescent="0.35">
      <c r="H126" s="12"/>
    </row>
    <row r="127" spans="8:8" x14ac:dyDescent="0.35">
      <c r="H127" s="12"/>
    </row>
    <row r="128" spans="8:8" x14ac:dyDescent="0.35">
      <c r="H128" s="12"/>
    </row>
    <row r="129" spans="8:8" x14ac:dyDescent="0.35">
      <c r="H129" s="12"/>
    </row>
    <row r="130" spans="8:8" x14ac:dyDescent="0.35">
      <c r="H130" s="12"/>
    </row>
    <row r="131" spans="8:8" x14ac:dyDescent="0.35">
      <c r="H131" s="12"/>
    </row>
    <row r="132" spans="8:8" x14ac:dyDescent="0.35">
      <c r="H132" s="12"/>
    </row>
    <row r="133" spans="8:8" x14ac:dyDescent="0.35">
      <c r="H133" s="12"/>
    </row>
    <row r="134" spans="8:8" x14ac:dyDescent="0.35">
      <c r="H134" s="12"/>
    </row>
    <row r="135" spans="8:8" x14ac:dyDescent="0.35">
      <c r="H135" s="12"/>
    </row>
    <row r="136" spans="8:8" x14ac:dyDescent="0.35">
      <c r="H136" s="12"/>
    </row>
    <row r="137" spans="8:8" x14ac:dyDescent="0.35">
      <c r="H137" s="12"/>
    </row>
    <row r="138" spans="8:8" x14ac:dyDescent="0.35">
      <c r="H138" s="12"/>
    </row>
    <row r="139" spans="8:8" x14ac:dyDescent="0.35">
      <c r="H139" s="12"/>
    </row>
    <row r="140" spans="8:8" x14ac:dyDescent="0.35">
      <c r="H140" s="12"/>
    </row>
    <row r="141" spans="8:8" x14ac:dyDescent="0.35">
      <c r="H141" s="12"/>
    </row>
    <row r="142" spans="8:8" x14ac:dyDescent="0.35">
      <c r="H142" s="12"/>
    </row>
    <row r="143" spans="8:8" x14ac:dyDescent="0.35">
      <c r="H143" s="12"/>
    </row>
    <row r="144" spans="8:8" x14ac:dyDescent="0.35">
      <c r="H144" s="12"/>
    </row>
    <row r="145" spans="8:8" x14ac:dyDescent="0.35">
      <c r="H145" s="12"/>
    </row>
    <row r="146" spans="8:8" x14ac:dyDescent="0.35">
      <c r="H146" s="12"/>
    </row>
    <row r="147" spans="8:8" x14ac:dyDescent="0.35">
      <c r="H147" s="12"/>
    </row>
    <row r="148" spans="8:8" x14ac:dyDescent="0.35">
      <c r="H148" s="12"/>
    </row>
    <row r="149" spans="8:8" x14ac:dyDescent="0.35">
      <c r="H149" s="12"/>
    </row>
    <row r="150" spans="8:8" x14ac:dyDescent="0.35">
      <c r="H150" s="12"/>
    </row>
    <row r="151" spans="8:8" x14ac:dyDescent="0.35">
      <c r="H151" s="12"/>
    </row>
    <row r="152" spans="8:8" x14ac:dyDescent="0.35">
      <c r="H152" s="12"/>
    </row>
    <row r="153" spans="8:8" x14ac:dyDescent="0.35">
      <c r="H153" s="12"/>
    </row>
    <row r="154" spans="8:8" x14ac:dyDescent="0.35">
      <c r="H154" s="12"/>
    </row>
    <row r="155" spans="8:8" x14ac:dyDescent="0.35">
      <c r="H155" s="12"/>
    </row>
    <row r="156" spans="8:8" x14ac:dyDescent="0.35">
      <c r="H156" s="12"/>
    </row>
    <row r="157" spans="8:8" x14ac:dyDescent="0.35">
      <c r="H157" s="12"/>
    </row>
    <row r="158" spans="8:8" x14ac:dyDescent="0.35">
      <c r="H158" s="12"/>
    </row>
    <row r="159" spans="8:8" x14ac:dyDescent="0.35">
      <c r="H159" s="12"/>
    </row>
    <row r="160" spans="8:8" x14ac:dyDescent="0.35">
      <c r="H160" s="12"/>
    </row>
    <row r="161" spans="8:8" x14ac:dyDescent="0.35">
      <c r="H161" s="12"/>
    </row>
    <row r="162" spans="8:8" x14ac:dyDescent="0.35">
      <c r="H162" s="12"/>
    </row>
    <row r="163" spans="8:8" x14ac:dyDescent="0.35">
      <c r="H163" s="12"/>
    </row>
    <row r="164" spans="8:8" x14ac:dyDescent="0.35">
      <c r="H164" s="12"/>
    </row>
    <row r="165" spans="8:8" x14ac:dyDescent="0.35">
      <c r="H165" s="12"/>
    </row>
    <row r="166" spans="8:8" x14ac:dyDescent="0.35">
      <c r="H166" s="12"/>
    </row>
    <row r="167" spans="8:8" x14ac:dyDescent="0.35">
      <c r="H167" s="12"/>
    </row>
    <row r="168" spans="8:8" x14ac:dyDescent="0.35">
      <c r="H168" s="12"/>
    </row>
    <row r="169" spans="8:8" x14ac:dyDescent="0.35">
      <c r="H169" s="12"/>
    </row>
    <row r="170" spans="8:8" x14ac:dyDescent="0.35">
      <c r="H170" s="12"/>
    </row>
    <row r="171" spans="8:8" x14ac:dyDescent="0.35">
      <c r="H171" s="12"/>
    </row>
    <row r="172" spans="8:8" x14ac:dyDescent="0.35">
      <c r="H172" s="12"/>
    </row>
    <row r="173" spans="8:8" x14ac:dyDescent="0.35">
      <c r="H173" s="12"/>
    </row>
    <row r="174" spans="8:8" x14ac:dyDescent="0.35">
      <c r="H174" s="12"/>
    </row>
    <row r="175" spans="8:8" x14ac:dyDescent="0.35">
      <c r="H175" s="12"/>
    </row>
    <row r="176" spans="8:8" x14ac:dyDescent="0.35">
      <c r="H176" s="12"/>
    </row>
    <row r="177" spans="8:8" x14ac:dyDescent="0.35">
      <c r="H177" s="12"/>
    </row>
    <row r="178" spans="8:8" x14ac:dyDescent="0.35">
      <c r="H178" s="12"/>
    </row>
    <row r="179" spans="8:8" x14ac:dyDescent="0.35">
      <c r="H179" s="12"/>
    </row>
    <row r="180" spans="8:8" x14ac:dyDescent="0.35">
      <c r="H180" s="12"/>
    </row>
    <row r="181" spans="8:8" x14ac:dyDescent="0.35">
      <c r="H181" s="12"/>
    </row>
    <row r="182" spans="8:8" x14ac:dyDescent="0.35">
      <c r="H182" s="12"/>
    </row>
    <row r="183" spans="8:8" x14ac:dyDescent="0.35">
      <c r="H183" s="12"/>
    </row>
    <row r="184" spans="8:8" x14ac:dyDescent="0.35">
      <c r="H184" s="12"/>
    </row>
    <row r="185" spans="8:8" x14ac:dyDescent="0.35">
      <c r="H185" s="12"/>
    </row>
    <row r="186" spans="8:8" x14ac:dyDescent="0.35">
      <c r="H186" s="12"/>
    </row>
    <row r="187" spans="8:8" x14ac:dyDescent="0.35">
      <c r="H187" s="12"/>
    </row>
    <row r="188" spans="8:8" x14ac:dyDescent="0.35">
      <c r="H188" s="12"/>
    </row>
    <row r="189" spans="8:8" x14ac:dyDescent="0.35">
      <c r="H189" s="12"/>
    </row>
    <row r="190" spans="8:8" x14ac:dyDescent="0.35">
      <c r="H190" s="12"/>
    </row>
    <row r="191" spans="8:8" x14ac:dyDescent="0.35">
      <c r="H191" s="12"/>
    </row>
    <row r="192" spans="8:8" x14ac:dyDescent="0.35">
      <c r="H192" s="12"/>
    </row>
    <row r="193" spans="8:8" x14ac:dyDescent="0.35">
      <c r="H193" s="12"/>
    </row>
    <row r="194" spans="8:8" x14ac:dyDescent="0.35">
      <c r="H194" s="12"/>
    </row>
    <row r="195" spans="8:8" x14ac:dyDescent="0.35">
      <c r="H195" s="12"/>
    </row>
    <row r="196" spans="8:8" x14ac:dyDescent="0.35">
      <c r="H196" s="12"/>
    </row>
    <row r="197" spans="8:8" x14ac:dyDescent="0.35">
      <c r="H197" s="12"/>
    </row>
    <row r="198" spans="8:8" x14ac:dyDescent="0.35">
      <c r="H198" s="12"/>
    </row>
    <row r="199" spans="8:8" x14ac:dyDescent="0.35">
      <c r="H199" s="12"/>
    </row>
    <row r="200" spans="8:8" x14ac:dyDescent="0.35">
      <c r="H200" s="12"/>
    </row>
    <row r="201" spans="8:8" x14ac:dyDescent="0.35">
      <c r="H201" s="12"/>
    </row>
    <row r="202" spans="8:8" x14ac:dyDescent="0.35">
      <c r="H202" s="12"/>
    </row>
    <row r="203" spans="8:8" x14ac:dyDescent="0.35">
      <c r="H203" s="12"/>
    </row>
    <row r="204" spans="8:8" x14ac:dyDescent="0.35">
      <c r="H204" s="12"/>
    </row>
    <row r="205" spans="8:8" x14ac:dyDescent="0.35">
      <c r="H205" s="12"/>
    </row>
    <row r="206" spans="8:8" x14ac:dyDescent="0.35">
      <c r="H206" s="12"/>
    </row>
    <row r="207" spans="8:8" x14ac:dyDescent="0.35">
      <c r="H207" s="12"/>
    </row>
    <row r="208" spans="8:8" x14ac:dyDescent="0.35">
      <c r="H208" s="12"/>
    </row>
    <row r="209" spans="8:8" x14ac:dyDescent="0.35">
      <c r="H209" s="12"/>
    </row>
    <row r="210" spans="8:8" x14ac:dyDescent="0.35">
      <c r="H210" s="12"/>
    </row>
    <row r="211" spans="8:8" x14ac:dyDescent="0.35">
      <c r="H211" s="12"/>
    </row>
    <row r="212" spans="8:8" x14ac:dyDescent="0.35">
      <c r="H212" s="12"/>
    </row>
    <row r="213" spans="8:8" x14ac:dyDescent="0.35">
      <c r="H213" s="12"/>
    </row>
    <row r="214" spans="8:8" x14ac:dyDescent="0.35">
      <c r="H214" s="12"/>
    </row>
    <row r="215" spans="8:8" x14ac:dyDescent="0.35">
      <c r="H215" s="12"/>
    </row>
    <row r="216" spans="8:8" x14ac:dyDescent="0.35">
      <c r="H216" s="12"/>
    </row>
    <row r="217" spans="8:8" x14ac:dyDescent="0.35">
      <c r="H217" s="12"/>
    </row>
    <row r="218" spans="8:8" x14ac:dyDescent="0.35">
      <c r="H218" s="12"/>
    </row>
    <row r="219" spans="8:8" x14ac:dyDescent="0.35">
      <c r="H219" s="12"/>
    </row>
    <row r="220" spans="8:8" x14ac:dyDescent="0.35">
      <c r="H220" s="12"/>
    </row>
    <row r="221" spans="8:8" x14ac:dyDescent="0.35">
      <c r="H221" s="12"/>
    </row>
    <row r="222" spans="8:8" x14ac:dyDescent="0.35">
      <c r="H222" s="12"/>
    </row>
    <row r="223" spans="8:8" x14ac:dyDescent="0.35">
      <c r="H223" s="12"/>
    </row>
    <row r="224" spans="8:8" x14ac:dyDescent="0.35">
      <c r="H224" s="12"/>
    </row>
    <row r="225" spans="8:8" x14ac:dyDescent="0.35">
      <c r="H225" s="12"/>
    </row>
    <row r="226" spans="8:8" x14ac:dyDescent="0.35">
      <c r="H226" s="12"/>
    </row>
    <row r="227" spans="8:8" x14ac:dyDescent="0.35">
      <c r="H227" s="12"/>
    </row>
    <row r="228" spans="8:8" x14ac:dyDescent="0.35">
      <c r="H228" s="12"/>
    </row>
    <row r="229" spans="8:8" x14ac:dyDescent="0.35">
      <c r="H229" s="12"/>
    </row>
    <row r="230" spans="8:8" x14ac:dyDescent="0.35">
      <c r="H230" s="12"/>
    </row>
    <row r="231" spans="8:8" x14ac:dyDescent="0.35">
      <c r="H231" s="12"/>
    </row>
    <row r="232" spans="8:8" x14ac:dyDescent="0.35">
      <c r="H232" s="12"/>
    </row>
    <row r="233" spans="8:8" x14ac:dyDescent="0.35">
      <c r="H233" s="12"/>
    </row>
    <row r="234" spans="8:8" x14ac:dyDescent="0.35">
      <c r="H234" s="12"/>
    </row>
    <row r="235" spans="8:8" x14ac:dyDescent="0.35">
      <c r="H235" s="12"/>
    </row>
    <row r="236" spans="8:8" x14ac:dyDescent="0.35">
      <c r="H236" s="12"/>
    </row>
    <row r="237" spans="8:8" x14ac:dyDescent="0.35">
      <c r="H237" s="12"/>
    </row>
    <row r="238" spans="8:8" x14ac:dyDescent="0.35">
      <c r="H238" s="12"/>
    </row>
    <row r="239" spans="8:8" x14ac:dyDescent="0.35">
      <c r="H239" s="12"/>
    </row>
    <row r="240" spans="8:8" x14ac:dyDescent="0.35">
      <c r="H240" s="12"/>
    </row>
    <row r="241" spans="8:8" x14ac:dyDescent="0.35">
      <c r="H241" s="12"/>
    </row>
    <row r="242" spans="8:8" x14ac:dyDescent="0.35">
      <c r="H242" s="12"/>
    </row>
    <row r="243" spans="8:8" x14ac:dyDescent="0.35">
      <c r="H243" s="12"/>
    </row>
    <row r="244" spans="8:8" x14ac:dyDescent="0.35">
      <c r="H244" s="12"/>
    </row>
    <row r="245" spans="8:8" x14ac:dyDescent="0.35">
      <c r="H245" s="12"/>
    </row>
    <row r="246" spans="8:8" x14ac:dyDescent="0.35">
      <c r="H246" s="12"/>
    </row>
    <row r="247" spans="8:8" x14ac:dyDescent="0.35">
      <c r="H247" s="12"/>
    </row>
    <row r="248" spans="8:8" x14ac:dyDescent="0.35">
      <c r="H248" s="12"/>
    </row>
    <row r="249" spans="8:8" x14ac:dyDescent="0.35">
      <c r="H249" s="12"/>
    </row>
    <row r="250" spans="8:8" x14ac:dyDescent="0.35">
      <c r="H250" s="12"/>
    </row>
    <row r="251" spans="8:8" x14ac:dyDescent="0.35">
      <c r="H251" s="12"/>
    </row>
    <row r="252" spans="8:8" x14ac:dyDescent="0.35">
      <c r="H252" s="12"/>
    </row>
    <row r="253" spans="8:8" x14ac:dyDescent="0.35">
      <c r="H253" s="12"/>
    </row>
    <row r="254" spans="8:8" x14ac:dyDescent="0.35">
      <c r="H254" s="12"/>
    </row>
    <row r="255" spans="8:8" x14ac:dyDescent="0.35">
      <c r="H255" s="12"/>
    </row>
    <row r="256" spans="8:8" x14ac:dyDescent="0.35">
      <c r="H256" s="12"/>
    </row>
    <row r="257" spans="8:8" x14ac:dyDescent="0.35">
      <c r="H257" s="12"/>
    </row>
    <row r="258" spans="8:8" x14ac:dyDescent="0.35">
      <c r="H258" s="12"/>
    </row>
    <row r="259" spans="8:8" x14ac:dyDescent="0.35">
      <c r="H259" s="12"/>
    </row>
    <row r="260" spans="8:8" x14ac:dyDescent="0.35">
      <c r="H260" s="12"/>
    </row>
    <row r="261" spans="8:8" x14ac:dyDescent="0.35">
      <c r="H261" s="12"/>
    </row>
    <row r="262" spans="8:8" x14ac:dyDescent="0.35">
      <c r="H262" s="12"/>
    </row>
    <row r="263" spans="8:8" x14ac:dyDescent="0.35">
      <c r="H263" s="12"/>
    </row>
    <row r="264" spans="8:8" x14ac:dyDescent="0.35">
      <c r="H264" s="12"/>
    </row>
    <row r="265" spans="8:8" x14ac:dyDescent="0.35">
      <c r="H265" s="12"/>
    </row>
    <row r="266" spans="8:8" x14ac:dyDescent="0.35">
      <c r="H266" s="12"/>
    </row>
    <row r="267" spans="8:8" x14ac:dyDescent="0.35">
      <c r="H267" s="12"/>
    </row>
    <row r="268" spans="8:8" x14ac:dyDescent="0.35">
      <c r="H268" s="12"/>
    </row>
    <row r="269" spans="8:8" x14ac:dyDescent="0.35">
      <c r="H269" s="12"/>
    </row>
    <row r="270" spans="8:8" x14ac:dyDescent="0.35">
      <c r="H270" s="12"/>
    </row>
    <row r="271" spans="8:8" x14ac:dyDescent="0.35">
      <c r="H271" s="12"/>
    </row>
    <row r="272" spans="8:8" x14ac:dyDescent="0.35">
      <c r="H272" s="12"/>
    </row>
    <row r="273" spans="8:8" x14ac:dyDescent="0.35">
      <c r="H273" s="12"/>
    </row>
    <row r="274" spans="8:8" x14ac:dyDescent="0.35">
      <c r="H274" s="12"/>
    </row>
    <row r="275" spans="8:8" x14ac:dyDescent="0.35">
      <c r="H275" s="12"/>
    </row>
    <row r="276" spans="8:8" x14ac:dyDescent="0.35">
      <c r="H276" s="12"/>
    </row>
    <row r="277" spans="8:8" x14ac:dyDescent="0.35">
      <c r="H277" s="12"/>
    </row>
    <row r="278" spans="8:8" x14ac:dyDescent="0.35">
      <c r="H278" s="12"/>
    </row>
    <row r="279" spans="8:8" x14ac:dyDescent="0.35">
      <c r="H279" s="12"/>
    </row>
    <row r="280" spans="8:8" x14ac:dyDescent="0.35">
      <c r="H280" s="12"/>
    </row>
    <row r="281" spans="8:8" x14ac:dyDescent="0.35">
      <c r="H281" s="12"/>
    </row>
    <row r="282" spans="8:8" x14ac:dyDescent="0.35">
      <c r="H282" s="12"/>
    </row>
    <row r="283" spans="8:8" x14ac:dyDescent="0.35">
      <c r="H283" s="12"/>
    </row>
    <row r="284" spans="8:8" x14ac:dyDescent="0.35">
      <c r="H284" s="12"/>
    </row>
    <row r="285" spans="8:8" x14ac:dyDescent="0.35">
      <c r="H285" s="12"/>
    </row>
    <row r="286" spans="8:8" x14ac:dyDescent="0.35">
      <c r="H286" s="12"/>
    </row>
    <row r="287" spans="8:8" x14ac:dyDescent="0.35">
      <c r="H287" s="12"/>
    </row>
    <row r="288" spans="8:8" x14ac:dyDescent="0.35">
      <c r="H288" s="12"/>
    </row>
    <row r="289" spans="8:8" x14ac:dyDescent="0.35">
      <c r="H289" s="12"/>
    </row>
    <row r="290" spans="8:8" x14ac:dyDescent="0.35">
      <c r="H290" s="12"/>
    </row>
    <row r="291" spans="8:8" x14ac:dyDescent="0.35">
      <c r="H291" s="12"/>
    </row>
    <row r="292" spans="8:8" x14ac:dyDescent="0.35">
      <c r="H292" s="12"/>
    </row>
    <row r="293" spans="8:8" x14ac:dyDescent="0.35">
      <c r="H293" s="12"/>
    </row>
    <row r="294" spans="8:8" x14ac:dyDescent="0.35">
      <c r="H294" s="12"/>
    </row>
    <row r="295" spans="8:8" x14ac:dyDescent="0.35">
      <c r="H295" s="12"/>
    </row>
    <row r="296" spans="8:8" x14ac:dyDescent="0.35">
      <c r="H296" s="12"/>
    </row>
    <row r="297" spans="8:8" x14ac:dyDescent="0.35">
      <c r="H297" s="12"/>
    </row>
    <row r="298" spans="8:8" x14ac:dyDescent="0.35">
      <c r="H298" s="12"/>
    </row>
    <row r="299" spans="8:8" x14ac:dyDescent="0.35">
      <c r="H299" s="12"/>
    </row>
    <row r="300" spans="8:8" x14ac:dyDescent="0.35">
      <c r="H300" s="12"/>
    </row>
    <row r="301" spans="8:8" x14ac:dyDescent="0.35">
      <c r="H301" s="12"/>
    </row>
    <row r="302" spans="8:8" x14ac:dyDescent="0.35">
      <c r="H302" s="12"/>
    </row>
    <row r="303" spans="8:8" x14ac:dyDescent="0.35">
      <c r="H303" s="12"/>
    </row>
    <row r="304" spans="8:8" x14ac:dyDescent="0.35">
      <c r="H304" s="12"/>
    </row>
    <row r="305" spans="8:8" x14ac:dyDescent="0.35">
      <c r="H305" s="12"/>
    </row>
    <row r="306" spans="8:8" x14ac:dyDescent="0.35">
      <c r="H306" s="12"/>
    </row>
    <row r="307" spans="8:8" x14ac:dyDescent="0.35">
      <c r="H307" s="12"/>
    </row>
    <row r="308" spans="8:8" x14ac:dyDescent="0.35">
      <c r="H308" s="12"/>
    </row>
    <row r="309" spans="8:8" x14ac:dyDescent="0.35">
      <c r="H309" s="12"/>
    </row>
    <row r="310" spans="8:8" x14ac:dyDescent="0.35">
      <c r="H310" s="12"/>
    </row>
    <row r="311" spans="8:8" x14ac:dyDescent="0.35">
      <c r="H311" s="12"/>
    </row>
    <row r="312" spans="8:8" x14ac:dyDescent="0.35">
      <c r="H312" s="12"/>
    </row>
    <row r="313" spans="8:8" x14ac:dyDescent="0.35">
      <c r="H313" s="12"/>
    </row>
    <row r="314" spans="8:8" x14ac:dyDescent="0.35">
      <c r="H314" s="12"/>
    </row>
    <row r="315" spans="8:8" x14ac:dyDescent="0.35">
      <c r="H315" s="12"/>
    </row>
    <row r="316" spans="8:8" x14ac:dyDescent="0.35">
      <c r="H316" s="12"/>
    </row>
    <row r="317" spans="8:8" x14ac:dyDescent="0.35">
      <c r="H317" s="12"/>
    </row>
    <row r="318" spans="8:8" x14ac:dyDescent="0.35">
      <c r="H318" s="12"/>
    </row>
    <row r="319" spans="8:8" x14ac:dyDescent="0.35">
      <c r="H319" s="12"/>
    </row>
    <row r="320" spans="8:8" x14ac:dyDescent="0.35">
      <c r="H320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2026-08-10T01:25:04Z</dcterms:created>
  <dcterms:modified xsi:type="dcterms:W3CDTF">2026-08-12T01:37:39Z</dcterms:modified>
</cp:coreProperties>
</file>